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Raw_Incident_Data" sheetId="1" r:id="rId1"/>
    <sheet name="KPI_Calculations" sheetId="2" r:id="rId2"/>
    <sheet name="Executive_Dashboard" sheetId="3" r:id="rId3"/>
    <sheet name="Dept_Summary" sheetId="4" r:id="rId4"/>
    <sheet name="Severity_Summary" sheetId="5" r:id="rId5"/>
    <sheet name="SLA_Trend" sheetId="6" r:id="rId6"/>
  </sheets>
  <calcPr calcId="125725"/>
</workbook>
</file>

<file path=xl/calcChain.xml><?xml version="1.0" encoding="utf-8"?>
<calcChain xmlns="http://schemas.openxmlformats.org/spreadsheetml/2006/main">
  <c r="B4" i="5"/>
  <c r="B3"/>
  <c r="B2"/>
  <c r="B5" i="4"/>
  <c r="B4"/>
  <c r="B3"/>
  <c r="B2"/>
  <c r="B5" i="2"/>
  <c r="G4" i="3" s="1"/>
  <c r="B4" i="2"/>
  <c r="E4" i="3" s="1"/>
  <c r="B3" i="2"/>
  <c r="C4" i="3" s="1"/>
  <c r="B1" i="2"/>
  <c r="B2" s="1"/>
  <c r="A4" i="3" s="1"/>
</calcChain>
</file>

<file path=xl/sharedStrings.xml><?xml version="1.0" encoding="utf-8"?>
<sst xmlns="http://schemas.openxmlformats.org/spreadsheetml/2006/main" count="73" uniqueCount="31">
  <si>
    <t>Case ID</t>
  </si>
  <si>
    <t>Department</t>
  </si>
  <si>
    <t>Severity</t>
  </si>
  <si>
    <t>Status</t>
  </si>
  <si>
    <t>Completion Hours</t>
  </si>
  <si>
    <t>SLA Breach</t>
  </si>
  <si>
    <t>IT</t>
  </si>
  <si>
    <t>High</t>
  </si>
  <si>
    <t>Resolved</t>
  </si>
  <si>
    <t>No</t>
  </si>
  <si>
    <t>Escalated</t>
  </si>
  <si>
    <t>Yes</t>
  </si>
  <si>
    <t>Operations</t>
  </si>
  <si>
    <t>Medium</t>
  </si>
  <si>
    <t>Finance</t>
  </si>
  <si>
    <t>Low</t>
  </si>
  <si>
    <t>Investigating</t>
  </si>
  <si>
    <t>HR</t>
  </si>
  <si>
    <t>Total Cases</t>
  </si>
  <si>
    <t>SLA Breach %</t>
  </si>
  <si>
    <t>Avg Completion Time</t>
  </si>
  <si>
    <t>Escalated Cases</t>
  </si>
  <si>
    <t>Open Backlog</t>
  </si>
  <si>
    <t>AICWO – Enterprise Workflow Intelligence Dashboard</t>
  </si>
  <si>
    <t>Count</t>
  </si>
  <si>
    <t>Month</t>
  </si>
  <si>
    <t>Breach %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</si>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</sst>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Incidents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Dept_Summary!$B$1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Dept_Summary!$A$2:$A$5</c:f>
              <c:strCache>
                <c:ptCount val="4"/>
                <c:pt idx="0">
                  <c:v>IT</c:v>
                </c:pt>
                <c:pt idx="1">
                  <c:v>Operations</c:v>
                </c:pt>
                <c:pt idx="2">
                  <c:v>Finance</c:v>
                </c:pt>
                <c:pt idx="3">
                  <c:v>HR</c:v>
                </c:pt>
              </c:strCache>
            </c:strRef>
          </c:cat>
          <c:val>
            <c:numRef>
              <c:f>Dept_Summary!$B$2:$B$5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axId val="140547968"/>
        <c:axId val="140549504"/>
      </c:barChart>
      <c:catAx>
        <c:axId val="140547968"/>
        <c:scaling>
          <c:orientation val="minMax"/>
        </c:scaling>
        <c:axPos val="b"/>
        <c:majorTickMark val="none"/>
        <c:tickLblPos val="nextTo"/>
        <c:crossAx val="140549504"/>
        <c:crosses val="autoZero"/>
        <c:lblAlgn val="ctr"/>
        <c:lblOffset val="100"/>
      </c:catAx>
      <c:valAx>
        <c:axId val="14054950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054796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Incident Severity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Severity_Summary!$B$1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Severity_Summary!$A$2:$A$4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Severity_Summary!$B$2:$B$4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SLA Compliance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SLA_Trend!$B$1</c:f>
              <c:strCache>
                <c:ptCount val="1"/>
                <c:pt idx="0">
                  <c:v>Breach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SLA_Trend!$A$2:$A$5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SLA_Trend!$B$2:$B$5</c:f>
              <c:numCache>
                <c:formatCode>General</c:formatCode>
                <c:ptCount val="4"/>
                <c:pt idx="0">
                  <c:v>45</c:v>
                </c:pt>
                <c:pt idx="1">
                  <c:v>48</c:v>
                </c:pt>
                <c:pt idx="2">
                  <c:v>50</c:v>
                </c:pt>
                <c:pt idx="3">
                  <c:v>42</c:v>
                </c:pt>
              </c:numCache>
            </c:numRef>
          </c:val>
        </c:ser>
        <c:marker val="1"/>
        <c:axId val="140670080"/>
        <c:axId val="140672000"/>
      </c:lineChart>
      <c:catAx>
        <c:axId val="140670080"/>
        <c:scaling>
          <c:orientation val="minMax"/>
        </c:scaling>
        <c:axPos val="b"/>
        <c:majorTickMark val="none"/>
        <c:tickLblPos val="nextTo"/>
        <c:crossAx val="140672000"/>
        <c:crosses val="autoZero"/>
        <c:lblAlgn val="ctr"/>
        <c:lblOffset val="100"/>
      </c:catAx>
      <c:valAx>
        <c:axId val="14067200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067008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27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304800</xdr:colOff>
      <xdr:row>6</xdr:row>
      <xdr:rowOff>28575</xdr:rowOff>
    </xdr:from>
    <xdr:ext cx="5400000" cy="270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E1" sqref="E1"/>
    </sheetView>
  </sheetViews>
  <sheetFormatPr defaultRowHeight="15"/>
  <cols>
    <col min="4" max="4" width="12.42578125" bestFit="1" customWidth="1"/>
    <col min="5" max="5" width="17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4.5</v>
      </c>
      <c r="F2" t="s">
        <v>9</v>
      </c>
    </row>
    <row r="3" spans="1:6">
      <c r="A3">
        <v>2</v>
      </c>
      <c r="B3" t="s">
        <v>6</v>
      </c>
      <c r="C3" t="s">
        <v>7</v>
      </c>
      <c r="D3" t="s">
        <v>10</v>
      </c>
      <c r="E3">
        <v>6.2</v>
      </c>
      <c r="F3" t="s">
        <v>11</v>
      </c>
    </row>
    <row r="4" spans="1:6">
      <c r="A4">
        <v>3</v>
      </c>
      <c r="B4" t="s">
        <v>12</v>
      </c>
      <c r="C4" t="s">
        <v>13</v>
      </c>
      <c r="D4" t="s">
        <v>8</v>
      </c>
      <c r="E4">
        <v>5.8</v>
      </c>
      <c r="F4" t="s">
        <v>9</v>
      </c>
    </row>
    <row r="5" spans="1:6">
      <c r="A5">
        <v>4</v>
      </c>
      <c r="B5" t="s">
        <v>14</v>
      </c>
      <c r="C5" t="s">
        <v>15</v>
      </c>
      <c r="D5" t="s">
        <v>16</v>
      </c>
      <c r="E5">
        <v>7</v>
      </c>
      <c r="F5" t="s">
        <v>9</v>
      </c>
    </row>
    <row r="6" spans="1:6">
      <c r="A6">
        <v>5</v>
      </c>
      <c r="B6" t="s">
        <v>17</v>
      </c>
      <c r="C6" t="s">
        <v>7</v>
      </c>
      <c r="D6" t="s">
        <v>10</v>
      </c>
      <c r="E6">
        <v>9</v>
      </c>
      <c r="F6" t="s">
        <v>11</v>
      </c>
    </row>
    <row r="7" spans="1:6">
      <c r="A7">
        <v>6</v>
      </c>
      <c r="B7" t="s">
        <v>12</v>
      </c>
      <c r="C7" t="s">
        <v>13</v>
      </c>
      <c r="D7" t="s">
        <v>8</v>
      </c>
      <c r="E7">
        <v>6.5</v>
      </c>
      <c r="F7" t="s">
        <v>9</v>
      </c>
    </row>
    <row r="8" spans="1:6">
      <c r="A8">
        <v>7</v>
      </c>
      <c r="B8" t="s">
        <v>14</v>
      </c>
      <c r="C8" t="s">
        <v>15</v>
      </c>
      <c r="D8" t="s">
        <v>8</v>
      </c>
      <c r="E8">
        <v>7.5</v>
      </c>
      <c r="F8" t="s">
        <v>11</v>
      </c>
    </row>
    <row r="9" spans="1:6">
      <c r="A9">
        <v>8</v>
      </c>
      <c r="B9" t="s">
        <v>17</v>
      </c>
      <c r="C9" t="s">
        <v>13</v>
      </c>
      <c r="D9" t="s">
        <v>16</v>
      </c>
      <c r="E9">
        <v>8</v>
      </c>
      <c r="F9" t="s">
        <v>9</v>
      </c>
    </row>
    <row r="10" spans="1:6">
      <c r="A10">
        <v>9</v>
      </c>
      <c r="B10" t="s">
        <v>6</v>
      </c>
      <c r="C10" t="s">
        <v>15</v>
      </c>
      <c r="D10" t="s">
        <v>8</v>
      </c>
      <c r="E10">
        <v>4</v>
      </c>
      <c r="F10" t="s">
        <v>9</v>
      </c>
    </row>
    <row r="11" spans="1:6">
      <c r="A11">
        <v>10</v>
      </c>
      <c r="B11" t="s">
        <v>6</v>
      </c>
      <c r="C11" t="s">
        <v>7</v>
      </c>
      <c r="D11" t="s">
        <v>10</v>
      </c>
      <c r="E11">
        <v>6.8</v>
      </c>
      <c r="F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18</v>
      </c>
      <c r="B1">
        <f>COUNTA(Raw_Incident_Data!A2:A100)</f>
        <v>10</v>
      </c>
    </row>
    <row r="2" spans="1:2">
      <c r="A2" s="1" t="s">
        <v>19</v>
      </c>
      <c r="B2">
        <f>COUNTIF(Raw_Incident_Data!F2:F100,"Yes")/B1</f>
        <v>0.4</v>
      </c>
    </row>
    <row r="3" spans="1:2">
      <c r="A3" s="1" t="s">
        <v>20</v>
      </c>
      <c r="B3">
        <f>AVERAGE(Raw_Incident_Data!E2:E100)</f>
        <v>6.5299999999999994</v>
      </c>
    </row>
    <row r="4" spans="1:2">
      <c r="A4" s="1" t="s">
        <v>21</v>
      </c>
      <c r="B4">
        <f>COUNTIF(Raw_Incident_Data!D2:D100,"Escalated")</f>
        <v>3</v>
      </c>
    </row>
    <row r="5" spans="1:2">
      <c r="A5" s="1" t="s">
        <v>22</v>
      </c>
      <c r="B5">
        <f>COUNTIF(Raw_Incident_Data!D2:D100,"Investigating")</f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L4" sqref="L4"/>
    </sheetView>
  </sheetViews>
  <sheetFormatPr defaultRowHeight="15"/>
  <sheetData>
    <row r="1" spans="1:8" ht="23.25">
      <c r="A1" s="4" t="s">
        <v>23</v>
      </c>
      <c r="B1" s="3"/>
      <c r="C1" s="3"/>
      <c r="D1" s="3"/>
      <c r="E1" s="3"/>
      <c r="F1" s="3"/>
      <c r="G1" s="3"/>
      <c r="H1" s="3"/>
    </row>
    <row r="3" spans="1:8">
      <c r="A3" s="5" t="s">
        <v>19</v>
      </c>
      <c r="B3" s="3"/>
      <c r="C3" s="5" t="s">
        <v>20</v>
      </c>
      <c r="D3" s="3"/>
      <c r="E3" s="5" t="s">
        <v>21</v>
      </c>
      <c r="F3" s="3"/>
      <c r="G3" s="5" t="s">
        <v>22</v>
      </c>
      <c r="H3" s="3"/>
    </row>
    <row r="4" spans="1:8" ht="21">
      <c r="A4" s="2">
        <f>KPI_Calculations!B2</f>
        <v>0.4</v>
      </c>
      <c r="B4" s="3"/>
      <c r="C4" s="2">
        <f>KPI_Calculations!B3</f>
        <v>6.5299999999999994</v>
      </c>
      <c r="D4" s="3"/>
      <c r="E4" s="2">
        <f>KPI_Calculations!B4</f>
        <v>3</v>
      </c>
      <c r="F4" s="3"/>
      <c r="G4" s="2">
        <f>KPI_Calculations!B5</f>
        <v>2</v>
      </c>
      <c r="H4" s="3"/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A4">
    <cfRule type="cellIs" dxfId="0" priority="1" operator="greaterThan">
      <formula>0.4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</v>
      </c>
      <c r="B1" t="s">
        <v>24</v>
      </c>
    </row>
    <row r="2" spans="1:2">
      <c r="A2" t="s">
        <v>6</v>
      </c>
      <c r="B2">
        <f>COUNTIF(Raw_Incident_Data!B:B,"IT")</f>
        <v>4</v>
      </c>
    </row>
    <row r="3" spans="1:2">
      <c r="A3" t="s">
        <v>12</v>
      </c>
      <c r="B3">
        <f>COUNTIF(Raw_Incident_Data!B:B,"Operations")</f>
        <v>2</v>
      </c>
    </row>
    <row r="4" spans="1:2">
      <c r="A4" t="s">
        <v>14</v>
      </c>
      <c r="B4">
        <f>COUNTIF(Raw_Incident_Data!B:B,"Finance")</f>
        <v>2</v>
      </c>
    </row>
    <row r="5" spans="1:2">
      <c r="A5" t="s">
        <v>17</v>
      </c>
      <c r="B5">
        <f>COUNTIF(Raw_Incident_Data!B:B,"HR")</f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24</v>
      </c>
    </row>
    <row r="2" spans="1:2">
      <c r="A2" t="s">
        <v>7</v>
      </c>
      <c r="B2">
        <f>COUNTIF(Raw_Incident_Data!C:C,"High")</f>
        <v>4</v>
      </c>
    </row>
    <row r="3" spans="1:2">
      <c r="A3" t="s">
        <v>13</v>
      </c>
      <c r="B3">
        <f>COUNTIF(Raw_Incident_Data!C:C,"Medium")</f>
        <v>3</v>
      </c>
    </row>
    <row r="4" spans="1:2">
      <c r="A4" t="s">
        <v>15</v>
      </c>
      <c r="B4">
        <f>COUNTIF(Raw_Incident_Data!C:C,"Low")</f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25</v>
      </c>
      <c r="B1" t="s">
        <v>26</v>
      </c>
    </row>
    <row r="2" spans="1:2">
      <c r="A2" t="s">
        <v>27</v>
      </c>
      <c r="B2">
        <v>45</v>
      </c>
    </row>
    <row r="3" spans="1:2">
      <c r="A3" t="s">
        <v>28</v>
      </c>
      <c r="B3">
        <v>48</v>
      </c>
    </row>
    <row r="4" spans="1:2">
      <c r="A4" t="s">
        <v>29</v>
      </c>
      <c r="B4">
        <v>50</v>
      </c>
    </row>
    <row r="5" spans="1:2">
      <c r="A5" t="s">
        <v>30</v>
      </c>
      <c r="B5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Raw_Incident_Data</vt:lpstr>
      <vt:lpstr>KPI_Calculations</vt:lpstr>
      <vt:lpstr>Executive_Dashboard</vt:lpstr>
      <vt:lpstr>Dept_Summary</vt:lpstr>
      <vt:lpstr>Severity_Summary</vt:lpstr>
      <vt:lpstr>SLA_Trend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2026-02-28T14:24:18Z</dcterms:created>
  <dcterms:modified xsi:type="dcterms:W3CDTF">2026-02-28T14:30:13Z</dcterms:modified>
</cp:coreProperties>
</file>